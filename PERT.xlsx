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anuelsannazzaro/Desktop/Uni/Gestione Progetti/Cagno/"/>
    </mc:Choice>
  </mc:AlternateContent>
  <xr:revisionPtr revIDLastSave="0" documentId="13_ncr:1_{A73A9E7A-9EC3-4D4A-A235-A841FCA36C4D}" xr6:coauthVersionLast="47" xr6:coauthVersionMax="47" xr10:uidLastSave="{00000000-0000-0000-0000-000000000000}"/>
  <bookViews>
    <workbookView xWindow="0" yWindow="660" windowWidth="30240" windowHeight="17360" activeTab="1" xr2:uid="{DA26DDE0-5F10-B942-B7F4-B75A38612FE9}"/>
  </bookViews>
  <sheets>
    <sheet name="Es1-Lezione" sheetId="1" r:id="rId1"/>
    <sheet name="Es2 - Lezion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 i="1" l="1"/>
  <c r="I30" i="1"/>
  <c r="D17" i="1"/>
  <c r="I31" i="1" s="1"/>
  <c r="C41" i="1" s="1"/>
  <c r="C43" i="1" s="1"/>
  <c r="D18" i="1"/>
  <c r="D19" i="1"/>
  <c r="D20" i="1"/>
  <c r="D21" i="1"/>
  <c r="D22" i="1"/>
  <c r="D23" i="1"/>
  <c r="D24" i="1"/>
  <c r="D16" i="1"/>
  <c r="I29" i="1" s="1"/>
  <c r="C60" i="1" s="1"/>
  <c r="C62" i="1" s="1"/>
  <c r="C17" i="1"/>
  <c r="H30" i="1" s="1"/>
  <c r="C18" i="1"/>
  <c r="C19" i="1"/>
  <c r="C20" i="1"/>
  <c r="C21" i="1"/>
  <c r="C22" i="1"/>
  <c r="C23" i="1"/>
  <c r="C24" i="1"/>
  <c r="C16" i="1"/>
  <c r="H28" i="1" s="1"/>
  <c r="K5" i="1"/>
  <c r="K6" i="1"/>
  <c r="K7" i="1"/>
  <c r="K8" i="1"/>
  <c r="K9" i="1"/>
  <c r="K10" i="1"/>
  <c r="K11" i="1"/>
  <c r="K12" i="1"/>
  <c r="K4" i="1"/>
  <c r="H31" i="1" l="1"/>
  <c r="C39" i="1" s="1"/>
  <c r="I41" i="1" s="1"/>
  <c r="I28" i="1"/>
  <c r="H29" i="1"/>
  <c r="C58" i="1" s="1"/>
  <c r="I6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tc={139FA15E-EC7B-4D4A-9930-5BD1275DA03A}</author>
    <author>tc={79C22D06-585E-B247-A8D1-1B7F9B4A55D9}</author>
  </authors>
  <commentList>
    <comment ref="M3" authorId="0" shapeId="0" xr:uid="{139FA15E-EC7B-4D4A-9930-5BD1275DA03A}">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Indica verso dove (e di quanto) è spostata la camana. M dovrebbe stare al centro nel caso perfetto, ma piu è spostata verso destra/sinistra, peggio è)
Rispondi:
Per valutare quante X assegnare guardo dov'è posizionata M, se è tanto vicina a a o b allora il valore è peggio (piu X), se è al centro stimo chill (-)
</t>
      </text>
    </comment>
    <comment ref="M9" authorId="1" shapeId="0" xr:uid="{79C22D06-585E-B247-A8D1-1B7F9B4A55D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scueness negativa, caso ottimale molto raro</t>
      </text>
    </comment>
  </commentList>
</comments>
</file>

<file path=xl/sharedStrings.xml><?xml version="1.0" encoding="utf-8"?>
<sst xmlns="http://schemas.openxmlformats.org/spreadsheetml/2006/main" count="115" uniqueCount="57">
  <si>
    <t>Attivita</t>
  </si>
  <si>
    <t>A</t>
  </si>
  <si>
    <t>B</t>
  </si>
  <si>
    <t>C</t>
  </si>
  <si>
    <t>D</t>
  </si>
  <si>
    <t>E</t>
  </si>
  <si>
    <t>F</t>
  </si>
  <si>
    <t>G</t>
  </si>
  <si>
    <t>H</t>
  </si>
  <si>
    <t>I</t>
  </si>
  <si>
    <t>Pred</t>
  </si>
  <si>
    <t>-</t>
  </si>
  <si>
    <t>D,E</t>
  </si>
  <si>
    <t>a</t>
  </si>
  <si>
    <t>m</t>
  </si>
  <si>
    <t>b</t>
  </si>
  <si>
    <t>Which is the probability to bring in this project by month 15?</t>
  </si>
  <si>
    <t>t</t>
  </si>
  <si>
    <t>1)</t>
  </si>
  <si>
    <t>ANALISI PRELIMINARE:</t>
  </si>
  <si>
    <t>Uncertainiy</t>
  </si>
  <si>
    <t>Scueness</t>
  </si>
  <si>
    <t>xxxx</t>
  </si>
  <si>
    <t>xx</t>
  </si>
  <si>
    <t>x</t>
  </si>
  <si>
    <t>xxx</t>
  </si>
  <si>
    <t>2)</t>
  </si>
  <si>
    <t>Ttot</t>
  </si>
  <si>
    <t>A-C-G</t>
  </si>
  <si>
    <t>A-D-H</t>
  </si>
  <si>
    <t>B-E-H</t>
  </si>
  <si>
    <t>B-F-I</t>
  </si>
  <si>
    <r>
      <t>T</t>
    </r>
    <r>
      <rPr>
        <b/>
        <vertAlign val="subscript"/>
        <sz val="12"/>
        <color theme="1"/>
        <rFont val="Aptos Narrow (Corpo)"/>
      </rPr>
      <t>tot</t>
    </r>
  </si>
  <si>
    <r>
      <t>σ</t>
    </r>
    <r>
      <rPr>
        <b/>
        <vertAlign val="subscript"/>
        <sz val="12"/>
        <color theme="1"/>
        <rFont val="Aptos Narrow (Corpo)"/>
      </rPr>
      <t>t</t>
    </r>
    <r>
      <rPr>
        <b/>
        <vertAlign val="superscript"/>
        <sz val="12"/>
        <color theme="1"/>
        <rFont val="Aptos Narrow (Corpo)"/>
      </rPr>
      <t>2</t>
    </r>
    <r>
      <rPr>
        <b/>
        <vertAlign val="subscript"/>
        <sz val="12"/>
        <color theme="1"/>
        <rFont val="Aptos Narrow (Corpo)"/>
      </rPr>
      <t>tot</t>
    </r>
  </si>
  <si>
    <r>
      <t>σ</t>
    </r>
    <r>
      <rPr>
        <b/>
        <vertAlign val="subscript"/>
        <sz val="12"/>
        <color theme="1"/>
        <rFont val="Aptos Narrow (Corpo)"/>
      </rPr>
      <t>t</t>
    </r>
    <r>
      <rPr>
        <b/>
        <vertAlign val="superscript"/>
        <sz val="12"/>
        <color theme="1"/>
        <rFont val="Aptos Narrow (Corpo)"/>
      </rPr>
      <t>2</t>
    </r>
  </si>
  <si>
    <t>3)</t>
  </si>
  <si>
    <r>
      <t>T</t>
    </r>
    <r>
      <rPr>
        <b/>
        <vertAlign val="subscript"/>
        <sz val="12"/>
        <color theme="1"/>
        <rFont val="Aptos Narrow (Corpo)"/>
      </rPr>
      <t>1</t>
    </r>
  </si>
  <si>
    <r>
      <t>σ</t>
    </r>
    <r>
      <rPr>
        <b/>
        <vertAlign val="subscript"/>
        <sz val="12"/>
        <color theme="1"/>
        <rFont val="Aptos Narrow (Corpo)"/>
      </rPr>
      <t>t</t>
    </r>
    <r>
      <rPr>
        <b/>
        <vertAlign val="superscript"/>
        <sz val="12"/>
        <color theme="1"/>
        <rFont val="Aptos Narrow (Corpo)"/>
      </rPr>
      <t>2</t>
    </r>
    <r>
      <rPr>
        <b/>
        <vertAlign val="subscript"/>
        <sz val="12"/>
        <color theme="1"/>
        <rFont val="Aptos Narrow (Corpo)"/>
      </rPr>
      <t>t1</t>
    </r>
  </si>
  <si>
    <r>
      <t>σ</t>
    </r>
    <r>
      <rPr>
        <b/>
        <vertAlign val="subscript"/>
        <sz val="12"/>
        <color theme="1"/>
        <rFont val="Aptos Narrow (Corpo)"/>
      </rPr>
      <t>t1</t>
    </r>
  </si>
  <si>
    <t>P{B-F-I&lt;=15)</t>
  </si>
  <si>
    <t>Z=</t>
  </si>
  <si>
    <t>4)</t>
  </si>
  <si>
    <t xml:space="preserve">Φ(0.64) = </t>
  </si>
  <si>
    <t>Φ(− 0.64) =</t>
  </si>
  <si>
    <t>0,5 - 0,24  =</t>
  </si>
  <si>
    <t>B-F-I (critical path)</t>
  </si>
  <si>
    <t>5)</t>
  </si>
  <si>
    <t>A-D-H (near critical path)</t>
  </si>
  <si>
    <t>T2</t>
  </si>
  <si>
    <r>
      <t>σ</t>
    </r>
    <r>
      <rPr>
        <b/>
        <vertAlign val="subscript"/>
        <sz val="12"/>
        <color theme="1"/>
        <rFont val="Aptos Narrow (Corpo)"/>
      </rPr>
      <t>t</t>
    </r>
    <r>
      <rPr>
        <b/>
        <vertAlign val="superscript"/>
        <sz val="12"/>
        <color theme="1"/>
        <rFont val="Aptos Narrow (Corpo)"/>
      </rPr>
      <t>2</t>
    </r>
    <r>
      <rPr>
        <b/>
        <vertAlign val="subscript"/>
        <sz val="12"/>
        <color theme="1"/>
        <rFont val="Aptos Narrow (Corpo)"/>
      </rPr>
      <t>t2</t>
    </r>
  </si>
  <si>
    <r>
      <t>σ</t>
    </r>
    <r>
      <rPr>
        <b/>
        <vertAlign val="subscript"/>
        <sz val="12"/>
        <color theme="1"/>
        <rFont val="Aptos Narrow (Corpo)"/>
      </rPr>
      <t>t2</t>
    </r>
  </si>
  <si>
    <t>P{A-D-H&lt;=15)</t>
  </si>
  <si>
    <t>Φ(0) = 0.5</t>
  </si>
  <si>
    <t>a) determine the critical path</t>
  </si>
  <si>
    <t>b) Determine the duration of the project with a probability of 90%</t>
  </si>
  <si>
    <t>A,B</t>
  </si>
  <si>
    <t>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</si>
</sst>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b/>
      <sz val="12"/>
      <color theme="1"/>
      <name val="Aptos Narrow"/>
      <scheme val="minor"/>
    </font>
    <font>
      <b/>
      <vertAlign val="subscript"/>
      <sz val="12"/>
      <color theme="1"/>
      <name val="Aptos Narrow (Corpo)"/>
    </font>
    <font>
      <b/>
      <vertAlign val="superscript"/>
      <sz val="12"/>
      <color theme="1"/>
      <name val="Aptos Narrow (Corpo)"/>
    </font>
    <font>
      <sz val="12"/>
      <color rgb="FFFF0000"/>
      <name val="Aptos Narrow"/>
      <scheme val="minor"/>
    </font>
    <font>
      <sz val="12"/>
      <color theme="5"/>
      <name val="Aptos Narrow"/>
      <scheme val="minor"/>
    </font>
    <font>
      <sz val="12"/>
      <color theme="1"/>
      <name val="Aptos Narrow"/>
      <scheme val="minor"/>
    </font>
  </fonts>
  <fills count="7">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27">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xf>
    <xf numFmtId="20" fontId="0" fillId="0" borderId="0" xfId="0" applyNumberFormat="1"/>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2" fontId="0" fillId="0" borderId="1" xfId="0" applyNumberFormat="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right"/>
    </xf>
    <xf numFmtId="0" fontId="0" fillId="0" borderId="0" xfId="0" applyAlignment="1">
      <alignment horizontal="left"/>
    </xf>
    <xf numFmtId="0" fontId="0" fillId="0" borderId="1" xfId="0" applyBorder="1" applyAlignment="1">
      <alignment horizontal="left"/>
    </xf>
    <xf numFmtId="0" fontId="0" fillId="0" borderId="3" xfId="0" applyBorder="1" applyAlignment="1">
      <alignment horizontal="right"/>
    </xf>
    <xf numFmtId="2" fontId="0" fillId="0" borderId="4" xfId="0" applyNumberFormat="1" applyBorder="1" applyAlignment="1">
      <alignment horizontal="left"/>
    </xf>
    <xf numFmtId="0" fontId="0" fillId="5" borderId="3" xfId="0" applyFill="1" applyBorder="1" applyAlignment="1">
      <alignment horizontal="right"/>
    </xf>
    <xf numFmtId="0" fontId="0" fillId="5" borderId="5" xfId="0" quotePrefix="1" applyFill="1" applyBorder="1"/>
    <xf numFmtId="0" fontId="0" fillId="6" borderId="4" xfId="0" applyFill="1" applyBorder="1" applyAlignment="1">
      <alignment horizontal="left"/>
    </xf>
    <xf numFmtId="0" fontId="0" fillId="6" borderId="2" xfId="0" applyFill="1" applyBorder="1"/>
    <xf numFmtId="0" fontId="5" fillId="0" borderId="0" xfId="0" applyFont="1" applyAlignment="1">
      <alignment horizontal="center"/>
    </xf>
    <xf numFmtId="0" fontId="6" fillId="0" borderId="0" xfId="0" applyFont="1" applyAlignment="1">
      <alignment horizontal="center"/>
    </xf>
    <xf numFmtId="0" fontId="0" fillId="0" borderId="0" xfId="0" applyAlignment="1">
      <alignment horizontal="center"/>
    </xf>
    <xf numFmtId="0" fontId="0" fillId="2" borderId="1" xfId="0" applyFill="1" applyBorder="1" applyAlignment="1">
      <alignment horizontal="center"/>
    </xf>
    <xf numFmtId="0" fontId="7" fillId="0" borderId="0"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xdr:col>
      <xdr:colOff>25704</xdr:colOff>
      <xdr:row>10</xdr:row>
      <xdr:rowOff>101752</xdr:rowOff>
    </xdr:from>
    <xdr:ext cx="65" cy="172227"/>
    <xdr:sp macro="" textlink="">
      <xdr:nvSpPr>
        <xdr:cNvPr id="2" name="CasellaDiTesto 1">
          <a:extLst>
            <a:ext uri="{FF2B5EF4-FFF2-40B4-BE49-F238E27FC236}">
              <a16:creationId xmlns:a16="http://schemas.microsoft.com/office/drawing/2014/main" id="{69718074-CF67-2F4A-D7F5-71CB5D25CBCE}"/>
            </a:ext>
          </a:extLst>
        </xdr:cNvPr>
        <xdr:cNvSpPr txBox="1"/>
      </xdr:nvSpPr>
      <xdr:spPr>
        <a:xfrm>
          <a:off x="5151333" y="21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b="0"/>
        </a:p>
      </xdr:txBody>
    </xdr:sp>
    <xdr:clientData/>
  </xdr:oneCellAnchor>
  <xdr:twoCellAnchor editAs="oneCell">
    <xdr:from>
      <xdr:col>5</xdr:col>
      <xdr:colOff>0</xdr:colOff>
      <xdr:row>13</xdr:row>
      <xdr:rowOff>205329</xdr:rowOff>
    </xdr:from>
    <xdr:to>
      <xdr:col>6</xdr:col>
      <xdr:colOff>589206</xdr:colOff>
      <xdr:row>16</xdr:row>
      <xdr:rowOff>27966</xdr:rowOff>
    </xdr:to>
    <xdr:pic>
      <xdr:nvPicPr>
        <xdr:cNvPr id="3" name="Immagine 2">
          <a:extLst>
            <a:ext uri="{FF2B5EF4-FFF2-40B4-BE49-F238E27FC236}">
              <a16:creationId xmlns:a16="http://schemas.microsoft.com/office/drawing/2014/main" id="{2FE4892F-5B51-6B9C-B98E-D00B538AD9AB}"/>
            </a:ext>
          </a:extLst>
        </xdr:cNvPr>
        <xdr:cNvPicPr>
          <a:picLocks noChangeAspect="1"/>
        </xdr:cNvPicPr>
      </xdr:nvPicPr>
      <xdr:blipFill>
        <a:blip xmlns:r="http://schemas.openxmlformats.org/officeDocument/2006/relationships" r:embed="rId1"/>
        <a:stretch>
          <a:fillRect/>
        </a:stretch>
      </xdr:blipFill>
      <xdr:spPr>
        <a:xfrm>
          <a:off x="2638862" y="2889820"/>
          <a:ext cx="1528563" cy="476649"/>
        </a:xfrm>
        <a:prstGeom prst="rect">
          <a:avLst/>
        </a:prstGeom>
      </xdr:spPr>
    </xdr:pic>
    <xdr:clientData/>
  </xdr:twoCellAnchor>
  <xdr:twoCellAnchor>
    <xdr:from>
      <xdr:col>14</xdr:col>
      <xdr:colOff>30416</xdr:colOff>
      <xdr:row>1</xdr:row>
      <xdr:rowOff>106465</xdr:rowOff>
    </xdr:from>
    <xdr:to>
      <xdr:col>24</xdr:col>
      <xdr:colOff>162128</xdr:colOff>
      <xdr:row>19</xdr:row>
      <xdr:rowOff>135106</xdr:rowOff>
    </xdr:to>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C2C6CC71-3F2A-1DDD-2706-1EE3F76ECEE8}"/>
                </a:ext>
              </a:extLst>
            </xdr:cNvPr>
            <xdr:cNvSpPr txBox="1"/>
          </xdr:nvSpPr>
          <xdr:spPr>
            <a:xfrm>
              <a:off x="10095842" y="309125"/>
              <a:ext cx="8373201" cy="3717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900" b="1"/>
                <a:t>1. Skewness (asimmetria)</a:t>
              </a:r>
            </a:p>
            <a:p>
              <a:r>
                <a:rPr lang="it-IT" sz="900"/>
                <a:t>Osservando i tre tempi (a, m, b), si nota che nella maggior parte delle attività il valore più probabile </a:t>
              </a:r>
              <a:r>
                <a:rPr lang="it-IT" sz="900" b="1"/>
                <a:t>m è più vicino al tempo ottimistico a che a quello pessimistico b</a:t>
              </a:r>
              <a:r>
                <a:rPr lang="it-IT" sz="900"/>
                <a:t>.</a:t>
              </a:r>
            </a:p>
            <a:p>
              <a:r>
                <a:rPr lang="it-IT" sz="900"/>
                <a:t>Questo implica una </a:t>
              </a:r>
              <a:r>
                <a:rPr lang="it-IT" sz="900" b="1"/>
                <a:t>skewness positiva</a:t>
              </a:r>
              <a:r>
                <a:rPr lang="it-IT" sz="900"/>
                <a:t>, cioè una distribuzione con coda verso destra.</a:t>
              </a:r>
            </a:p>
            <a:p>
              <a:r>
                <a:rPr lang="it-IT" sz="900"/>
                <a:t>Significato:</a:t>
              </a:r>
            </a:p>
            <a:p>
              <a:r>
                <a:rPr lang="it-IT" sz="900"/>
                <a:t>è </a:t>
              </a:r>
              <a:r>
                <a:rPr lang="it-IT" sz="900" b="1"/>
                <a:t>più facile che le attività subiscano ritardi</a:t>
              </a:r>
              <a:r>
                <a:rPr lang="it-IT" sz="900"/>
                <a:t> piuttosto che anticipi </a:t>
              </a:r>
            </a:p>
            <a:p>
              <a:r>
                <a:rPr lang="it-IT" sz="900"/>
                <a:t>situazione tipica nei progetti reali </a:t>
              </a:r>
            </a:p>
            <a:p>
              <a:r>
                <a:rPr lang="it-IT" sz="900"/>
                <a:t>Tuttavia:</a:t>
              </a:r>
            </a:p>
            <a:p>
              <a:r>
                <a:rPr lang="it-IT" sz="900"/>
                <a:t>alcune attività (come B, E, I) risultano </a:t>
              </a:r>
              <a:r>
                <a:rPr lang="it-IT" sz="900" b="1"/>
                <a:t>quasi simmetriche</a:t>
              </a:r>
              <a:r>
                <a:rPr lang="it-IT" sz="900"/>
                <a:t> </a:t>
              </a:r>
            </a:p>
            <a:p>
              <a:r>
                <a:rPr lang="it-IT" sz="900"/>
                <a:t>un caso particolare è F, dove m coincide con b → </a:t>
              </a:r>
              <a:r>
                <a:rPr lang="it-IT" sz="900" b="1"/>
                <a:t>asimmetria opposta (negativa)</a:t>
              </a:r>
              <a:r>
                <a:rPr lang="it-IT" sz="900"/>
                <a:t> </a:t>
              </a:r>
            </a:p>
            <a:p>
              <a:endParaRPr lang="it-IT" sz="900"/>
            </a:p>
            <a:p>
              <a:r>
                <a:rPr lang="it-IT" sz="900" b="1"/>
                <a:t>2. Uncertainty (incertezza)</a:t>
              </a:r>
            </a:p>
            <a:p>
              <a:r>
                <a:rPr lang="it-IT" sz="900"/>
                <a:t>L’incertezza dipende dall’ampiezza dell’intervallo:</a:t>
              </a:r>
              <a:r>
                <a:rPr lang="it-IT" sz="900" baseline="0"/>
                <a:t> </a:t>
              </a:r>
              <a14:m>
                <m:oMath xmlns:m="http://schemas.openxmlformats.org/officeDocument/2006/math">
                  <m:r>
                    <a:rPr lang="it-IT" sz="900" i="1">
                      <a:solidFill>
                        <a:schemeClr val="dk1"/>
                      </a:solidFill>
                      <a:latin typeface="Cambria Math" panose="02040503050406030204" pitchFamily="18" charset="0"/>
                      <a:ea typeface="+mn-ea"/>
                      <a:cs typeface="+mn-cs"/>
                    </a:rPr>
                    <m:t>𝑏</m:t>
                  </m:r>
                  <m:r>
                    <a:rPr lang="it-IT" sz="900" i="0">
                      <a:solidFill>
                        <a:schemeClr val="dk1"/>
                      </a:solidFill>
                      <a:latin typeface="Cambria Math" panose="02040503050406030204" pitchFamily="18" charset="0"/>
                      <a:ea typeface="+mn-ea"/>
                      <a:cs typeface="+mn-cs"/>
                    </a:rPr>
                    <m:t>−</m:t>
                  </m:r>
                  <m:r>
                    <a:rPr lang="it-IT" sz="900" i="1">
                      <a:solidFill>
                        <a:schemeClr val="dk1"/>
                      </a:solidFill>
                      <a:latin typeface="Cambria Math" panose="02040503050406030204" pitchFamily="18" charset="0"/>
                      <a:ea typeface="+mn-ea"/>
                      <a:cs typeface="+mn-cs"/>
                    </a:rPr>
                    <m:t>𝑎</m:t>
                  </m:r>
                </m:oMath>
              </a14:m>
              <a:endParaRPr lang="it-IT" sz="900"/>
            </a:p>
            <a:p>
              <a:r>
                <a:rPr lang="it-IT" sz="900"/>
                <a:t>Nel progetto si osserva una forte variabilità:</a:t>
              </a:r>
            </a:p>
            <a:p>
              <a:r>
                <a:rPr lang="it-IT" sz="900" b="1"/>
                <a:t>Alta incertezza</a:t>
              </a:r>
              <a:r>
                <a:rPr lang="it-IT" sz="900"/>
                <a:t>: A (10), C, G, H (8) </a:t>
              </a:r>
            </a:p>
            <a:p>
              <a:r>
                <a:rPr lang="it-IT" sz="900" b="1"/>
                <a:t>Media</a:t>
              </a:r>
              <a:r>
                <a:rPr lang="it-IT" sz="900"/>
                <a:t>: B, D, F (6) </a:t>
              </a:r>
            </a:p>
            <a:p>
              <a:r>
                <a:rPr lang="it-IT" sz="900" b="1"/>
                <a:t>Bassa</a:t>
              </a:r>
              <a:r>
                <a:rPr lang="it-IT" sz="900"/>
                <a:t>: E (2), I (4) </a:t>
              </a:r>
            </a:p>
            <a:p>
              <a:r>
                <a:rPr lang="it-IT" sz="900"/>
                <a:t>Significato:</a:t>
              </a:r>
            </a:p>
            <a:p>
              <a:r>
                <a:rPr lang="it-IT" sz="900"/>
                <a:t>alcune attività sono </a:t>
              </a:r>
              <a:r>
                <a:rPr lang="it-IT" sz="900" b="1"/>
                <a:t>molto prevedibili</a:t>
              </a:r>
              <a:r>
                <a:rPr lang="it-IT" sz="900"/>
                <a:t> </a:t>
              </a:r>
            </a:p>
            <a:p>
              <a:r>
                <a:rPr lang="it-IT" sz="900"/>
                <a:t>altre sono </a:t>
              </a:r>
              <a:r>
                <a:rPr lang="it-IT" sz="900" b="1"/>
                <a:t>fortemente soggette a variabilità</a:t>
              </a:r>
              <a:r>
                <a:rPr lang="it-IT" sz="900"/>
                <a:t> </a:t>
              </a:r>
            </a:p>
            <a:p>
              <a:endParaRPr lang="it-IT" sz="900"/>
            </a:p>
            <a:p>
              <a:r>
                <a:rPr lang="it-IT" sz="900" b="1"/>
                <a:t>3. Commento finale (da dire all’esame)</a:t>
              </a:r>
            </a:p>
            <a:p>
              <a:r>
                <a:rPr lang="it-IT" sz="900"/>
                <a:t>Le attività mostrano prevalentemente una </a:t>
              </a:r>
              <a:r>
                <a:rPr lang="it-IT" sz="900" b="1"/>
                <a:t>skewness positiva</a:t>
              </a:r>
              <a:r>
                <a:rPr lang="it-IT" sz="900"/>
                <a:t>, indicando una maggiore probabilità di ritardi rispetto ad anticipi.</a:t>
              </a:r>
              <a:br>
                <a:rPr lang="it-IT" sz="900"/>
              </a:br>
              <a:r>
                <a:rPr lang="it-IT" sz="900"/>
                <a:t>L’incertezza è eterogenea: alcune attività (come A, C, G e H) presentano elevata variabilità e rappresentano le principali fonti di rischio del progetto, mentre altre risultano più stabili.</a:t>
              </a:r>
            </a:p>
            <a:p>
              <a:r>
                <a:rPr lang="it-IT" sz="900"/>
                <a:t>Di conseguenza, il rischio complessivo del progetto è guidato principalmente da poche attività ad alta incertezza e forte asimmetria.</a:t>
              </a:r>
            </a:p>
          </xdr:txBody>
        </xdr:sp>
      </mc:Choice>
      <mc:Fallback xmlns="">
        <xdr:sp macro="" textlink="">
          <xdr:nvSpPr>
            <xdr:cNvPr id="5" name="CasellaDiTesto 4">
              <a:extLst>
                <a:ext uri="{FF2B5EF4-FFF2-40B4-BE49-F238E27FC236}">
                  <a16:creationId xmlns:a16="http://schemas.microsoft.com/office/drawing/2014/main" id="{C2C6CC71-3F2A-1DDD-2706-1EE3F76ECEE8}"/>
                </a:ext>
              </a:extLst>
            </xdr:cNvPr>
            <xdr:cNvSpPr txBox="1"/>
          </xdr:nvSpPr>
          <xdr:spPr>
            <a:xfrm>
              <a:off x="10095842" y="309125"/>
              <a:ext cx="8373201" cy="3717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900" b="1"/>
                <a:t>1. Skewness (asimmetria)</a:t>
              </a:r>
            </a:p>
            <a:p>
              <a:r>
                <a:rPr lang="it-IT" sz="900"/>
                <a:t>Osservando i tre tempi (a, m, b), si nota che nella maggior parte delle attività il valore più probabile </a:t>
              </a:r>
              <a:r>
                <a:rPr lang="it-IT" sz="900" b="1"/>
                <a:t>m è più vicino al tempo ottimistico a che a quello pessimistico b</a:t>
              </a:r>
              <a:r>
                <a:rPr lang="it-IT" sz="900"/>
                <a:t>.</a:t>
              </a:r>
            </a:p>
            <a:p>
              <a:r>
                <a:rPr lang="it-IT" sz="900"/>
                <a:t>Questo implica una </a:t>
              </a:r>
              <a:r>
                <a:rPr lang="it-IT" sz="900" b="1"/>
                <a:t>skewness positiva</a:t>
              </a:r>
              <a:r>
                <a:rPr lang="it-IT" sz="900"/>
                <a:t>, cioè una distribuzione con coda verso destra.</a:t>
              </a:r>
            </a:p>
            <a:p>
              <a:r>
                <a:rPr lang="it-IT" sz="900"/>
                <a:t>Significato:</a:t>
              </a:r>
            </a:p>
            <a:p>
              <a:r>
                <a:rPr lang="it-IT" sz="900"/>
                <a:t>è </a:t>
              </a:r>
              <a:r>
                <a:rPr lang="it-IT" sz="900" b="1"/>
                <a:t>più facile che le attività subiscano ritardi</a:t>
              </a:r>
              <a:r>
                <a:rPr lang="it-IT" sz="900"/>
                <a:t> piuttosto che anticipi </a:t>
              </a:r>
            </a:p>
            <a:p>
              <a:r>
                <a:rPr lang="it-IT" sz="900"/>
                <a:t>situazione tipica nei progetti reali </a:t>
              </a:r>
            </a:p>
            <a:p>
              <a:r>
                <a:rPr lang="it-IT" sz="900"/>
                <a:t>Tuttavia:</a:t>
              </a:r>
            </a:p>
            <a:p>
              <a:r>
                <a:rPr lang="it-IT" sz="900"/>
                <a:t>alcune attività (come B, E, I) risultano </a:t>
              </a:r>
              <a:r>
                <a:rPr lang="it-IT" sz="900" b="1"/>
                <a:t>quasi simmetriche</a:t>
              </a:r>
              <a:r>
                <a:rPr lang="it-IT" sz="900"/>
                <a:t> </a:t>
              </a:r>
            </a:p>
            <a:p>
              <a:r>
                <a:rPr lang="it-IT" sz="900"/>
                <a:t>un caso particolare è F, dove m coincide con b → </a:t>
              </a:r>
              <a:r>
                <a:rPr lang="it-IT" sz="900" b="1"/>
                <a:t>asimmetria opposta (negativa)</a:t>
              </a:r>
              <a:r>
                <a:rPr lang="it-IT" sz="900"/>
                <a:t> </a:t>
              </a:r>
            </a:p>
            <a:p>
              <a:endParaRPr lang="it-IT" sz="900"/>
            </a:p>
            <a:p>
              <a:r>
                <a:rPr lang="it-IT" sz="900" b="1"/>
                <a:t>2. Uncertainty (incertezza)</a:t>
              </a:r>
            </a:p>
            <a:p>
              <a:r>
                <a:rPr lang="it-IT" sz="900"/>
                <a:t>L’incertezza dipende dall’ampiezza dell’intervallo:</a:t>
              </a:r>
              <a:r>
                <a:rPr lang="it-IT" sz="900" baseline="0"/>
                <a:t> </a:t>
              </a:r>
              <a:r>
                <a:rPr lang="it-IT" sz="900" i="0">
                  <a:solidFill>
                    <a:schemeClr val="dk1"/>
                  </a:solidFill>
                  <a:latin typeface="+mn-lt"/>
                  <a:ea typeface="+mn-ea"/>
                  <a:cs typeface="+mn-cs"/>
                </a:rPr>
                <a:t>𝑏−𝑎</a:t>
              </a:r>
              <a:endParaRPr lang="it-IT" sz="900"/>
            </a:p>
            <a:p>
              <a:r>
                <a:rPr lang="it-IT" sz="900"/>
                <a:t>Nel progetto si osserva una forte variabilità:</a:t>
              </a:r>
            </a:p>
            <a:p>
              <a:r>
                <a:rPr lang="it-IT" sz="900" b="1"/>
                <a:t>Alta incertezza</a:t>
              </a:r>
              <a:r>
                <a:rPr lang="it-IT" sz="900"/>
                <a:t>: A (10), C, G, H (8) </a:t>
              </a:r>
            </a:p>
            <a:p>
              <a:r>
                <a:rPr lang="it-IT" sz="900" b="1"/>
                <a:t>Media</a:t>
              </a:r>
              <a:r>
                <a:rPr lang="it-IT" sz="900"/>
                <a:t>: B, D, F (6) </a:t>
              </a:r>
            </a:p>
            <a:p>
              <a:r>
                <a:rPr lang="it-IT" sz="900" b="1"/>
                <a:t>Bassa</a:t>
              </a:r>
              <a:r>
                <a:rPr lang="it-IT" sz="900"/>
                <a:t>: E (2), I (4) </a:t>
              </a:r>
            </a:p>
            <a:p>
              <a:r>
                <a:rPr lang="it-IT" sz="900"/>
                <a:t>Significato:</a:t>
              </a:r>
            </a:p>
            <a:p>
              <a:r>
                <a:rPr lang="it-IT" sz="900"/>
                <a:t>alcune attività sono </a:t>
              </a:r>
              <a:r>
                <a:rPr lang="it-IT" sz="900" b="1"/>
                <a:t>molto prevedibili</a:t>
              </a:r>
              <a:r>
                <a:rPr lang="it-IT" sz="900"/>
                <a:t> </a:t>
              </a:r>
            </a:p>
            <a:p>
              <a:r>
                <a:rPr lang="it-IT" sz="900"/>
                <a:t>altre sono </a:t>
              </a:r>
              <a:r>
                <a:rPr lang="it-IT" sz="900" b="1"/>
                <a:t>fortemente soggette a variabilità</a:t>
              </a:r>
              <a:r>
                <a:rPr lang="it-IT" sz="900"/>
                <a:t> </a:t>
              </a:r>
            </a:p>
            <a:p>
              <a:endParaRPr lang="it-IT" sz="900"/>
            </a:p>
            <a:p>
              <a:r>
                <a:rPr lang="it-IT" sz="900" b="1"/>
                <a:t>3. Commento finale (da dire all’esame)</a:t>
              </a:r>
            </a:p>
            <a:p>
              <a:r>
                <a:rPr lang="it-IT" sz="900"/>
                <a:t>Le attività mostrano prevalentemente una </a:t>
              </a:r>
              <a:r>
                <a:rPr lang="it-IT" sz="900" b="1"/>
                <a:t>skewness positiva</a:t>
              </a:r>
              <a:r>
                <a:rPr lang="it-IT" sz="900"/>
                <a:t>, indicando una maggiore probabilità di ritardi rispetto ad anticipi.</a:t>
              </a:r>
              <a:br>
                <a:rPr lang="it-IT" sz="900"/>
              </a:br>
              <a:r>
                <a:rPr lang="it-IT" sz="900"/>
                <a:t>L’incertezza è eterogenea: alcune attività (come A, C, G e H) presentano elevata variabilità e rappresentano le principali fonti di rischio del progetto, mentre altre risultano più stabili.</a:t>
              </a:r>
            </a:p>
            <a:p>
              <a:r>
                <a:rPr lang="it-IT" sz="900"/>
                <a:t>Di conseguenza, il rischio complessivo del progetto è guidato principalmente da poche attività ad alta incertezza e forte asimmetria.</a:t>
              </a:r>
            </a:p>
          </xdr:txBody>
        </xdr:sp>
      </mc:Fallback>
    </mc:AlternateContent>
    <xdr:clientData/>
  </xdr:twoCellAnchor>
  <xdr:twoCellAnchor editAs="oneCell">
    <xdr:from>
      <xdr:col>4</xdr:col>
      <xdr:colOff>458032</xdr:colOff>
      <xdr:row>16</xdr:row>
      <xdr:rowOff>48578</xdr:rowOff>
    </xdr:from>
    <xdr:to>
      <xdr:col>6</xdr:col>
      <xdr:colOff>618254</xdr:colOff>
      <xdr:row>19</xdr:row>
      <xdr:rowOff>77793</xdr:rowOff>
    </xdr:to>
    <xdr:pic>
      <xdr:nvPicPr>
        <xdr:cNvPr id="6" name="Immagine 5">
          <a:extLst>
            <a:ext uri="{FF2B5EF4-FFF2-40B4-BE49-F238E27FC236}">
              <a16:creationId xmlns:a16="http://schemas.microsoft.com/office/drawing/2014/main" id="{EBB7951F-6DEA-624D-5B5E-FA25FC58142F}"/>
            </a:ext>
          </a:extLst>
        </xdr:cNvPr>
        <xdr:cNvPicPr>
          <a:picLocks noChangeAspect="1"/>
        </xdr:cNvPicPr>
      </xdr:nvPicPr>
      <xdr:blipFill>
        <a:blip xmlns:r="http://schemas.openxmlformats.org/officeDocument/2006/relationships" r:embed="rId2"/>
        <a:stretch>
          <a:fillRect/>
        </a:stretch>
      </xdr:blipFill>
      <xdr:spPr>
        <a:xfrm>
          <a:off x="2644098" y="3310327"/>
          <a:ext cx="1554536" cy="632985"/>
        </a:xfrm>
        <a:prstGeom prst="rect">
          <a:avLst/>
        </a:prstGeom>
      </xdr:spPr>
    </xdr:pic>
    <xdr:clientData/>
  </xdr:twoCellAnchor>
  <xdr:twoCellAnchor editAs="oneCell">
    <xdr:from>
      <xdr:col>0</xdr:col>
      <xdr:colOff>364944</xdr:colOff>
      <xdr:row>26</xdr:row>
      <xdr:rowOff>21897</xdr:rowOff>
    </xdr:from>
    <xdr:to>
      <xdr:col>5</xdr:col>
      <xdr:colOff>408736</xdr:colOff>
      <xdr:row>34</xdr:row>
      <xdr:rowOff>41779</xdr:rowOff>
    </xdr:to>
    <xdr:pic>
      <xdr:nvPicPr>
        <xdr:cNvPr id="7" name="Immagine 6">
          <a:extLst>
            <a:ext uri="{FF2B5EF4-FFF2-40B4-BE49-F238E27FC236}">
              <a16:creationId xmlns:a16="http://schemas.microsoft.com/office/drawing/2014/main" id="{3C58DF0A-2AA7-BF53-3BC9-DFA1CE4ACA86}"/>
            </a:ext>
          </a:extLst>
        </xdr:cNvPr>
        <xdr:cNvPicPr>
          <a:picLocks noChangeAspect="1"/>
        </xdr:cNvPicPr>
      </xdr:nvPicPr>
      <xdr:blipFill>
        <a:blip xmlns:r="http://schemas.openxmlformats.org/officeDocument/2006/relationships" r:embed="rId3"/>
        <a:stretch>
          <a:fillRect/>
        </a:stretch>
      </xdr:blipFill>
      <xdr:spPr>
        <a:xfrm>
          <a:off x="364944" y="5371954"/>
          <a:ext cx="2700574" cy="1691319"/>
        </a:xfrm>
        <a:prstGeom prst="rect">
          <a:avLst/>
        </a:prstGeom>
      </xdr:spPr>
    </xdr:pic>
    <xdr:clientData/>
  </xdr:twoCellAnchor>
  <xdr:twoCellAnchor>
    <xdr:from>
      <xdr:col>9</xdr:col>
      <xdr:colOff>350345</xdr:colOff>
      <xdr:row>21</xdr:row>
      <xdr:rowOff>138678</xdr:rowOff>
    </xdr:from>
    <xdr:to>
      <xdr:col>16</xdr:col>
      <xdr:colOff>87586</xdr:colOff>
      <xdr:row>32</xdr:row>
      <xdr:rowOff>43793</xdr:rowOff>
    </xdr:to>
    <xdr:sp macro="" textlink="">
      <xdr:nvSpPr>
        <xdr:cNvPr id="8" name="CasellaDiTesto 7">
          <a:extLst>
            <a:ext uri="{FF2B5EF4-FFF2-40B4-BE49-F238E27FC236}">
              <a16:creationId xmlns:a16="http://schemas.microsoft.com/office/drawing/2014/main" id="{82D9C746-7816-DB25-3D7B-5CAA7515CC07}"/>
            </a:ext>
          </a:extLst>
        </xdr:cNvPr>
        <xdr:cNvSpPr txBox="1"/>
      </xdr:nvSpPr>
      <xdr:spPr>
        <a:xfrm>
          <a:off x="6306207" y="4466896"/>
          <a:ext cx="5510632" cy="2189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a:t>Il percorso critico è B–F–I, evidenziato con linea continua, in quanto presenta la durata attesa maggiore (16). Le linee tratteggiate rappresentano invece percorsi non critici, caratterizzati da slack positivo. Tuttavia, si osserva che il percorso critico presenta una varianza relativamente bassa, mentre alcuni percorsi alternativi (come A–C–G e A–D–H) mostrano una variabilità significativamente maggiore. Questo implica che, in condizioni di incertezza, tali percorsi potrebbero diventare critici, evidenziando un rischio potenziale nel progetto.</a:t>
          </a:r>
          <a:br>
            <a:rPr lang="it-IT"/>
          </a:br>
          <a:br>
            <a:rPr lang="it-IT"/>
          </a:br>
          <a:r>
            <a:rPr lang="it-IT"/>
            <a:t>Il metodo PERT è particolarmente efficace quando il percorso critico è nettamente più lungo degli altri, in quanto riduce la probabilità che percorsi alternativi diventino critici. Nel caso in esame, tuttavia, le differenze tra i percorsi sono contenute e inferiori alla variabilità degli stessi. Di conseguenza, esiste una significativa probabilità che percorsi non critici diventino critici, rendendo meno affidabile l’approccio PERT basato su un unico percorso critico.</a:t>
          </a:r>
          <a:endParaRPr lang="it-IT" sz="1100"/>
        </a:p>
      </xdr:txBody>
    </xdr:sp>
    <xdr:clientData/>
  </xdr:twoCellAnchor>
  <xdr:twoCellAnchor editAs="oneCell">
    <xdr:from>
      <xdr:col>7</xdr:col>
      <xdr:colOff>110435</xdr:colOff>
      <xdr:row>37</xdr:row>
      <xdr:rowOff>156449</xdr:rowOff>
    </xdr:from>
    <xdr:to>
      <xdr:col>8</xdr:col>
      <xdr:colOff>95720</xdr:colOff>
      <xdr:row>39</xdr:row>
      <xdr:rowOff>87244</xdr:rowOff>
    </xdr:to>
    <xdr:pic>
      <xdr:nvPicPr>
        <xdr:cNvPr id="9" name="Immagine 8">
          <a:extLst>
            <a:ext uri="{FF2B5EF4-FFF2-40B4-BE49-F238E27FC236}">
              <a16:creationId xmlns:a16="http://schemas.microsoft.com/office/drawing/2014/main" id="{BED4F753-05BF-9A5F-FF70-578F1898341F}"/>
            </a:ext>
          </a:extLst>
        </xdr:cNvPr>
        <xdr:cNvPicPr>
          <a:picLocks noChangeAspect="1"/>
        </xdr:cNvPicPr>
      </xdr:nvPicPr>
      <xdr:blipFill>
        <a:blip xmlns:r="http://schemas.openxmlformats.org/officeDocument/2006/relationships" r:embed="rId4"/>
        <a:stretch>
          <a:fillRect/>
        </a:stretch>
      </xdr:blipFill>
      <xdr:spPr>
        <a:xfrm>
          <a:off x="4408189" y="7721232"/>
          <a:ext cx="813546" cy="363331"/>
        </a:xfrm>
        <a:prstGeom prst="rect">
          <a:avLst/>
        </a:prstGeom>
      </xdr:spPr>
    </xdr:pic>
    <xdr:clientData/>
  </xdr:twoCellAnchor>
  <xdr:twoCellAnchor editAs="oneCell">
    <xdr:from>
      <xdr:col>0</xdr:col>
      <xdr:colOff>598188</xdr:colOff>
      <xdr:row>46</xdr:row>
      <xdr:rowOff>184059</xdr:rowOff>
    </xdr:from>
    <xdr:to>
      <xdr:col>5</xdr:col>
      <xdr:colOff>814456</xdr:colOff>
      <xdr:row>51</xdr:row>
      <xdr:rowOff>194734</xdr:rowOff>
    </xdr:to>
    <xdr:pic>
      <xdr:nvPicPr>
        <xdr:cNvPr id="10" name="Immagine 9">
          <a:extLst>
            <a:ext uri="{FF2B5EF4-FFF2-40B4-BE49-F238E27FC236}">
              <a16:creationId xmlns:a16="http://schemas.microsoft.com/office/drawing/2014/main" id="{AF853CDF-8C12-3D22-083D-3666117CDE1E}"/>
            </a:ext>
          </a:extLst>
        </xdr:cNvPr>
        <xdr:cNvPicPr>
          <a:picLocks noChangeAspect="1"/>
        </xdr:cNvPicPr>
      </xdr:nvPicPr>
      <xdr:blipFill>
        <a:blip xmlns:r="http://schemas.openxmlformats.org/officeDocument/2006/relationships" r:embed="rId5"/>
        <a:stretch>
          <a:fillRect/>
        </a:stretch>
      </xdr:blipFill>
      <xdr:spPr>
        <a:xfrm>
          <a:off x="598188" y="9690653"/>
          <a:ext cx="2857500" cy="1041400"/>
        </a:xfrm>
        <a:prstGeom prst="rect">
          <a:avLst/>
        </a:prstGeom>
      </xdr:spPr>
    </xdr:pic>
    <xdr:clientData/>
  </xdr:twoCellAnchor>
  <xdr:twoCellAnchor editAs="oneCell">
    <xdr:from>
      <xdr:col>11</xdr:col>
      <xdr:colOff>625797</xdr:colOff>
      <xdr:row>45</xdr:row>
      <xdr:rowOff>160769</xdr:rowOff>
    </xdr:from>
    <xdr:to>
      <xdr:col>14</xdr:col>
      <xdr:colOff>641074</xdr:colOff>
      <xdr:row>52</xdr:row>
      <xdr:rowOff>82642</xdr:rowOff>
    </xdr:to>
    <xdr:pic>
      <xdr:nvPicPr>
        <xdr:cNvPr id="11" name="Immagine 10">
          <a:extLst>
            <a:ext uri="{FF2B5EF4-FFF2-40B4-BE49-F238E27FC236}">
              <a16:creationId xmlns:a16="http://schemas.microsoft.com/office/drawing/2014/main" id="{3146BFC5-7744-2578-2000-5236F100B791}"/>
            </a:ext>
          </a:extLst>
        </xdr:cNvPr>
        <xdr:cNvPicPr>
          <a:picLocks noChangeAspect="1"/>
        </xdr:cNvPicPr>
      </xdr:nvPicPr>
      <xdr:blipFill>
        <a:blip xmlns:r="http://schemas.openxmlformats.org/officeDocument/2006/relationships" r:embed="rId6"/>
        <a:stretch>
          <a:fillRect/>
        </a:stretch>
      </xdr:blipFill>
      <xdr:spPr>
        <a:xfrm>
          <a:off x="8236594" y="9464899"/>
          <a:ext cx="2500059" cy="1357526"/>
        </a:xfrm>
        <a:prstGeom prst="rect">
          <a:avLst/>
        </a:prstGeom>
      </xdr:spPr>
    </xdr:pic>
    <xdr:clientData/>
  </xdr:twoCellAnchor>
  <xdr:twoCellAnchor>
    <xdr:from>
      <xdr:col>10</xdr:col>
      <xdr:colOff>331305</xdr:colOff>
      <xdr:row>48</xdr:row>
      <xdr:rowOff>46014</xdr:rowOff>
    </xdr:from>
    <xdr:to>
      <xdr:col>11</xdr:col>
      <xdr:colOff>276087</xdr:colOff>
      <xdr:row>49</xdr:row>
      <xdr:rowOff>128841</xdr:rowOff>
    </xdr:to>
    <xdr:sp macro="" textlink="">
      <xdr:nvSpPr>
        <xdr:cNvPr id="12" name="Freccia destra 11">
          <a:extLst>
            <a:ext uri="{FF2B5EF4-FFF2-40B4-BE49-F238E27FC236}">
              <a16:creationId xmlns:a16="http://schemas.microsoft.com/office/drawing/2014/main" id="{746923B5-4318-5BBE-2A52-5D2F0DCFFDA0}"/>
            </a:ext>
          </a:extLst>
        </xdr:cNvPr>
        <xdr:cNvSpPr/>
      </xdr:nvSpPr>
      <xdr:spPr>
        <a:xfrm>
          <a:off x="7113841" y="9957536"/>
          <a:ext cx="773043" cy="29449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7</xdr:col>
      <xdr:colOff>36812</xdr:colOff>
      <xdr:row>56</xdr:row>
      <xdr:rowOff>46015</xdr:rowOff>
    </xdr:from>
    <xdr:to>
      <xdr:col>8</xdr:col>
      <xdr:colOff>261680</xdr:colOff>
      <xdr:row>58</xdr:row>
      <xdr:rowOff>46014</xdr:rowOff>
    </xdr:to>
    <xdr:pic>
      <xdr:nvPicPr>
        <xdr:cNvPr id="13" name="Immagine 12">
          <a:extLst>
            <a:ext uri="{FF2B5EF4-FFF2-40B4-BE49-F238E27FC236}">
              <a16:creationId xmlns:a16="http://schemas.microsoft.com/office/drawing/2014/main" id="{4518056D-7A32-D6F3-E4BB-48C7BA8CEDDF}"/>
            </a:ext>
          </a:extLst>
        </xdr:cNvPr>
        <xdr:cNvPicPr>
          <a:picLocks noChangeAspect="1"/>
        </xdr:cNvPicPr>
      </xdr:nvPicPr>
      <xdr:blipFill>
        <a:blip xmlns:r="http://schemas.openxmlformats.org/officeDocument/2006/relationships" r:embed="rId7"/>
        <a:stretch>
          <a:fillRect/>
        </a:stretch>
      </xdr:blipFill>
      <xdr:spPr>
        <a:xfrm>
          <a:off x="4445000" y="11595653"/>
          <a:ext cx="1053129" cy="432535"/>
        </a:xfrm>
        <a:prstGeom prst="rect">
          <a:avLst/>
        </a:prstGeom>
      </xdr:spPr>
    </xdr:pic>
    <xdr:clientData/>
  </xdr:twoCellAnchor>
  <xdr:twoCellAnchor>
    <xdr:from>
      <xdr:col>9</xdr:col>
      <xdr:colOff>782245</xdr:colOff>
      <xdr:row>59</xdr:row>
      <xdr:rowOff>202463</xdr:rowOff>
    </xdr:from>
    <xdr:to>
      <xdr:col>14</xdr:col>
      <xdr:colOff>27608</xdr:colOff>
      <xdr:row>65</xdr:row>
      <xdr:rowOff>147247</xdr:rowOff>
    </xdr:to>
    <xdr:sp macro="" textlink="">
      <xdr:nvSpPr>
        <xdr:cNvPr id="14" name="CasellaDiTesto 13">
          <a:extLst>
            <a:ext uri="{FF2B5EF4-FFF2-40B4-BE49-F238E27FC236}">
              <a16:creationId xmlns:a16="http://schemas.microsoft.com/office/drawing/2014/main" id="{F0CF1185-3835-EF57-6605-BA1A05ED6690}"/>
            </a:ext>
          </a:extLst>
        </xdr:cNvPr>
        <xdr:cNvSpPr txBox="1"/>
      </xdr:nvSpPr>
      <xdr:spPr>
        <a:xfrm>
          <a:off x="6846955" y="12396304"/>
          <a:ext cx="3386667" cy="1242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a:t>l percorso A–D–H, pur non essendo critico in termini di valore atteso, presenta una probabilità significativa (50%) di raggiungere la durata considerata. Data inoltre la sua elevata variabilità, esiste una concreta possibilità che esso superi il percorso critico e diventi il nuovo percorso dominante.</a:t>
          </a:r>
          <a:endParaRPr lang="it-IT" sz="1100"/>
        </a:p>
      </xdr:txBody>
    </xdr:sp>
    <xdr:clientData/>
  </xdr:twoCellAnchor>
  <xdr:twoCellAnchor>
    <xdr:from>
      <xdr:col>8</xdr:col>
      <xdr:colOff>404927</xdr:colOff>
      <xdr:row>61</xdr:row>
      <xdr:rowOff>193260</xdr:rowOff>
    </xdr:from>
    <xdr:to>
      <xdr:col>9</xdr:col>
      <xdr:colOff>349709</xdr:colOff>
      <xdr:row>63</xdr:row>
      <xdr:rowOff>55217</xdr:rowOff>
    </xdr:to>
    <xdr:sp macro="" textlink="">
      <xdr:nvSpPr>
        <xdr:cNvPr id="15" name="Freccia destra 14">
          <a:extLst>
            <a:ext uri="{FF2B5EF4-FFF2-40B4-BE49-F238E27FC236}">
              <a16:creationId xmlns:a16="http://schemas.microsoft.com/office/drawing/2014/main" id="{99BECE6B-378D-3C43-AF7D-5217724E6E61}"/>
            </a:ext>
          </a:extLst>
        </xdr:cNvPr>
        <xdr:cNvSpPr/>
      </xdr:nvSpPr>
      <xdr:spPr>
        <a:xfrm>
          <a:off x="5641376" y="12847246"/>
          <a:ext cx="773043" cy="29449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wsDr>
</file>

<file path=xl/persons/person.xml><?xml version="1.0" encoding="utf-8"?>
<personList xmlns="http://schemas.microsoft.com/office/spreadsheetml/2018/threadedcomments" xmlns:x="http://schemas.openxmlformats.org/spreadsheetml/2006/main">
  <person displayName="Manuel Sannazzaro" id="{F1A135A0-E88A-FC43-859D-860CF2F3D49A}" userId="S::ma10.sannazzaro@stud.liuc.it::f84e562c-1ae5-4442-9b5a-22bf321d71c0"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 dT="2026-03-26T18:04:37.47" personId="{F1A135A0-E88A-FC43-859D-860CF2F3D49A}" id="{139FA15E-EC7B-4D4A-9930-5BD1275DA03A}">
    <text xml:space="preserve">Indica verso dove (e di quanto) è spostata la camana. M dovrebbe stare al centro nel caso perfetto, ma piu è spostata verso destra/sinistra, peggio è)
</text>
  </threadedComment>
  <threadedComment ref="M3" dT="2026-03-26T18:05:35.16" personId="{F1A135A0-E88A-FC43-859D-860CF2F3D49A}" id="{04DFEF1F-CD72-6348-A20A-91542E144640}" parentId="{139FA15E-EC7B-4D4A-9930-5BD1275DA03A}">
    <text xml:space="preserve">Per valutare quante X assegnare guardo dov'è posizionata M, se è tanto vicina a a o b allora il valore è peggio (piu X), se è al centro stimo chill (-)
</text>
  </threadedComment>
  <threadedComment ref="M9" dT="2026-03-26T18:15:11.25" personId="{F1A135A0-E88A-FC43-859D-860CF2F3D49A}" id="{79C22D06-585E-B247-A8D1-1B7F9B4A55D9}">
    <text>scueness negativa, caso ottimale molto raro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2BA0-BEF8-B244-9E0A-C8BB15E54F9A}">
  <dimension ref="A1:M63"/>
  <sheetViews>
    <sheetView zoomScale="75" zoomScaleNormal="183" workbookViewId="0">
      <selection activeCell="A3" sqref="A3:E12"/>
    </sheetView>
  </sheetViews>
  <sheetFormatPr baseColWidth="10" defaultRowHeight="16" x14ac:dyDescent="0.2"/>
  <cols>
    <col min="1" max="2" width="8" customWidth="1"/>
    <col min="3" max="3" width="6.6640625" customWidth="1"/>
    <col min="4" max="5" width="6" customWidth="1"/>
    <col min="6" max="6" width="12.33203125" customWidth="1"/>
  </cols>
  <sheetData>
    <row r="1" spans="1:13" x14ac:dyDescent="0.2">
      <c r="A1" s="24" t="s">
        <v>16</v>
      </c>
      <c r="B1" s="24"/>
      <c r="C1" s="24"/>
      <c r="D1" s="24"/>
      <c r="E1" s="24"/>
      <c r="F1" s="24"/>
      <c r="G1" s="24"/>
      <c r="H1" s="24"/>
    </row>
    <row r="2" spans="1:13" x14ac:dyDescent="0.2">
      <c r="A2" s="3"/>
      <c r="B2" s="3"/>
      <c r="C2" s="3"/>
      <c r="D2" s="3"/>
      <c r="E2" s="3"/>
      <c r="F2" s="3"/>
      <c r="G2" s="3"/>
      <c r="H2" s="3"/>
    </row>
    <row r="3" spans="1:13" x14ac:dyDescent="0.2">
      <c r="A3" s="12" t="s">
        <v>0</v>
      </c>
      <c r="B3" s="12" t="s">
        <v>10</v>
      </c>
      <c r="C3" s="12" t="s">
        <v>13</v>
      </c>
      <c r="D3" s="12" t="s">
        <v>14</v>
      </c>
      <c r="E3" s="12" t="s">
        <v>15</v>
      </c>
      <c r="H3" s="5" t="s">
        <v>19</v>
      </c>
      <c r="J3" s="8" t="s">
        <v>0</v>
      </c>
      <c r="K3" s="25" t="s">
        <v>20</v>
      </c>
      <c r="L3" s="25"/>
      <c r="M3" s="7" t="s">
        <v>21</v>
      </c>
    </row>
    <row r="4" spans="1:13" x14ac:dyDescent="0.2">
      <c r="A4" s="12" t="s">
        <v>1</v>
      </c>
      <c r="B4" s="2" t="s">
        <v>11</v>
      </c>
      <c r="C4" s="2">
        <v>2</v>
      </c>
      <c r="D4" s="2">
        <v>4</v>
      </c>
      <c r="E4" s="2">
        <v>12</v>
      </c>
      <c r="J4" s="9" t="s">
        <v>1</v>
      </c>
      <c r="K4" s="6">
        <f>E4-C4</f>
        <v>10</v>
      </c>
      <c r="L4" s="6" t="s">
        <v>22</v>
      </c>
      <c r="M4" s="7" t="s">
        <v>22</v>
      </c>
    </row>
    <row r="5" spans="1:13" x14ac:dyDescent="0.2">
      <c r="A5" s="12" t="s">
        <v>2</v>
      </c>
      <c r="B5" s="2" t="s">
        <v>11</v>
      </c>
      <c r="C5" s="2">
        <v>3</v>
      </c>
      <c r="D5" s="2">
        <v>6</v>
      </c>
      <c r="E5" s="2">
        <v>9</v>
      </c>
      <c r="J5" s="8" t="s">
        <v>2</v>
      </c>
      <c r="K5" s="6">
        <f t="shared" ref="K5:K12" si="0">E5-C5</f>
        <v>6</v>
      </c>
      <c r="L5" s="6" t="s">
        <v>23</v>
      </c>
      <c r="M5" s="7" t="s">
        <v>24</v>
      </c>
    </row>
    <row r="6" spans="1:13" x14ac:dyDescent="0.2">
      <c r="A6" s="12" t="s">
        <v>3</v>
      </c>
      <c r="B6" s="2" t="s">
        <v>1</v>
      </c>
      <c r="C6" s="2">
        <v>1</v>
      </c>
      <c r="D6" s="2">
        <v>2</v>
      </c>
      <c r="E6" s="2">
        <v>9</v>
      </c>
      <c r="J6" s="9" t="s">
        <v>3</v>
      </c>
      <c r="K6" s="6">
        <f t="shared" si="0"/>
        <v>8</v>
      </c>
      <c r="L6" s="6" t="s">
        <v>25</v>
      </c>
      <c r="M6" s="7" t="s">
        <v>22</v>
      </c>
    </row>
    <row r="7" spans="1:13" x14ac:dyDescent="0.2">
      <c r="A7" s="12" t="s">
        <v>4</v>
      </c>
      <c r="B7" s="2" t="s">
        <v>1</v>
      </c>
      <c r="C7" s="2">
        <v>3</v>
      </c>
      <c r="D7" s="2">
        <v>3</v>
      </c>
      <c r="E7" s="2">
        <v>9</v>
      </c>
      <c r="J7" s="8" t="s">
        <v>4</v>
      </c>
      <c r="K7" s="6">
        <f t="shared" si="0"/>
        <v>6</v>
      </c>
      <c r="L7" s="6" t="s">
        <v>23</v>
      </c>
      <c r="M7" s="7" t="s">
        <v>22</v>
      </c>
    </row>
    <row r="8" spans="1:13" x14ac:dyDescent="0.2">
      <c r="A8" s="12" t="s">
        <v>5</v>
      </c>
      <c r="B8" s="2" t="s">
        <v>2</v>
      </c>
      <c r="C8" s="2">
        <v>1</v>
      </c>
      <c r="D8" s="2">
        <v>2</v>
      </c>
      <c r="E8" s="2">
        <v>3</v>
      </c>
      <c r="J8" s="8" t="s">
        <v>5</v>
      </c>
      <c r="K8" s="6">
        <f t="shared" si="0"/>
        <v>2</v>
      </c>
      <c r="L8" s="6" t="s">
        <v>24</v>
      </c>
      <c r="M8" s="7" t="s">
        <v>24</v>
      </c>
    </row>
    <row r="9" spans="1:13" x14ac:dyDescent="0.2">
      <c r="A9" s="12" t="s">
        <v>6</v>
      </c>
      <c r="B9" s="2" t="s">
        <v>2</v>
      </c>
      <c r="C9" s="2">
        <v>2</v>
      </c>
      <c r="D9" s="2">
        <v>8</v>
      </c>
      <c r="E9" s="2">
        <v>8</v>
      </c>
      <c r="J9" s="8" t="s">
        <v>6</v>
      </c>
      <c r="K9" s="6">
        <f t="shared" si="0"/>
        <v>6</v>
      </c>
      <c r="L9" s="6" t="s">
        <v>23</v>
      </c>
      <c r="M9" s="7" t="s">
        <v>24</v>
      </c>
    </row>
    <row r="10" spans="1:13" x14ac:dyDescent="0.2">
      <c r="A10" s="12" t="s">
        <v>7</v>
      </c>
      <c r="B10" s="2" t="s">
        <v>3</v>
      </c>
      <c r="C10" s="2">
        <v>1</v>
      </c>
      <c r="D10" s="2">
        <v>2</v>
      </c>
      <c r="E10" s="2">
        <v>9</v>
      </c>
      <c r="J10" s="9" t="s">
        <v>7</v>
      </c>
      <c r="K10" s="6">
        <f t="shared" si="0"/>
        <v>8</v>
      </c>
      <c r="L10" s="6" t="s">
        <v>25</v>
      </c>
      <c r="M10" s="7" t="s">
        <v>22</v>
      </c>
    </row>
    <row r="11" spans="1:13" x14ac:dyDescent="0.2">
      <c r="A11" s="12" t="s">
        <v>8</v>
      </c>
      <c r="B11" s="2" t="s">
        <v>12</v>
      </c>
      <c r="C11" s="2">
        <v>4</v>
      </c>
      <c r="D11" s="2">
        <v>5</v>
      </c>
      <c r="E11" s="2">
        <v>12</v>
      </c>
      <c r="J11" s="9" t="s">
        <v>8</v>
      </c>
      <c r="K11" s="6">
        <f t="shared" si="0"/>
        <v>8</v>
      </c>
      <c r="L11" s="6" t="s">
        <v>25</v>
      </c>
      <c r="M11" s="7" t="s">
        <v>25</v>
      </c>
    </row>
    <row r="12" spans="1:13" x14ac:dyDescent="0.2">
      <c r="A12" s="12" t="s">
        <v>9</v>
      </c>
      <c r="B12" s="2" t="s">
        <v>6</v>
      </c>
      <c r="C12" s="2">
        <v>1</v>
      </c>
      <c r="D12" s="2">
        <v>3</v>
      </c>
      <c r="E12" s="2">
        <v>5</v>
      </c>
      <c r="J12" s="8" t="s">
        <v>9</v>
      </c>
      <c r="K12" s="6">
        <f t="shared" si="0"/>
        <v>4</v>
      </c>
      <c r="L12" s="6" t="s">
        <v>24</v>
      </c>
      <c r="M12" s="7" t="s">
        <v>24</v>
      </c>
    </row>
    <row r="14" spans="1:13" x14ac:dyDescent="0.2">
      <c r="A14" s="4" t="s">
        <v>18</v>
      </c>
    </row>
    <row r="15" spans="1:13" ht="19" x14ac:dyDescent="0.2">
      <c r="B15" s="12" t="s">
        <v>0</v>
      </c>
      <c r="C15" s="11" t="s">
        <v>17</v>
      </c>
      <c r="D15" s="11" t="s">
        <v>34</v>
      </c>
    </row>
    <row r="16" spans="1:13" x14ac:dyDescent="0.2">
      <c r="B16" s="12" t="s">
        <v>1</v>
      </c>
      <c r="C16" s="2">
        <f>(C4+4*D4+E4)/6</f>
        <v>5</v>
      </c>
      <c r="D16" s="10">
        <f>((E4-C4)/6)^2</f>
        <v>2.7777777777777781</v>
      </c>
    </row>
    <row r="17" spans="1:9" x14ac:dyDescent="0.2">
      <c r="B17" s="12" t="s">
        <v>2</v>
      </c>
      <c r="C17" s="2">
        <f t="shared" ref="C17:C24" si="1">(C5+4*D5+E5)/6</f>
        <v>6</v>
      </c>
      <c r="D17" s="10">
        <f t="shared" ref="D17:D24" si="2">((E5-C5)/6)^2</f>
        <v>1</v>
      </c>
    </row>
    <row r="18" spans="1:9" x14ac:dyDescent="0.2">
      <c r="B18" s="12" t="s">
        <v>3</v>
      </c>
      <c r="C18" s="2">
        <f t="shared" si="1"/>
        <v>3</v>
      </c>
      <c r="D18" s="10">
        <f t="shared" si="2"/>
        <v>1.7777777777777777</v>
      </c>
    </row>
    <row r="19" spans="1:9" x14ac:dyDescent="0.2">
      <c r="B19" s="12" t="s">
        <v>4</v>
      </c>
      <c r="C19" s="2">
        <f t="shared" si="1"/>
        <v>4</v>
      </c>
      <c r="D19" s="10">
        <f t="shared" si="2"/>
        <v>1</v>
      </c>
    </row>
    <row r="20" spans="1:9" x14ac:dyDescent="0.2">
      <c r="B20" s="12" t="s">
        <v>5</v>
      </c>
      <c r="C20" s="2">
        <f t="shared" si="1"/>
        <v>2</v>
      </c>
      <c r="D20" s="10">
        <f t="shared" si="2"/>
        <v>0.1111111111111111</v>
      </c>
    </row>
    <row r="21" spans="1:9" x14ac:dyDescent="0.2">
      <c r="B21" s="12" t="s">
        <v>6</v>
      </c>
      <c r="C21" s="2">
        <f t="shared" si="1"/>
        <v>7</v>
      </c>
      <c r="D21" s="10">
        <f t="shared" si="2"/>
        <v>1</v>
      </c>
    </row>
    <row r="22" spans="1:9" x14ac:dyDescent="0.2">
      <c r="B22" s="12" t="s">
        <v>7</v>
      </c>
      <c r="C22" s="2">
        <f t="shared" si="1"/>
        <v>3</v>
      </c>
      <c r="D22" s="10">
        <f t="shared" si="2"/>
        <v>1.7777777777777777</v>
      </c>
    </row>
    <row r="23" spans="1:9" x14ac:dyDescent="0.2">
      <c r="B23" s="12" t="s">
        <v>8</v>
      </c>
      <c r="C23" s="2">
        <f t="shared" si="1"/>
        <v>6</v>
      </c>
      <c r="D23" s="10">
        <f t="shared" si="2"/>
        <v>1.7777777777777777</v>
      </c>
    </row>
    <row r="24" spans="1:9" x14ac:dyDescent="0.2">
      <c r="B24" s="12" t="s">
        <v>9</v>
      </c>
      <c r="C24" s="2">
        <f t="shared" si="1"/>
        <v>3</v>
      </c>
      <c r="D24" s="10">
        <f t="shared" si="2"/>
        <v>0.44444444444444442</v>
      </c>
    </row>
    <row r="26" spans="1:9" x14ac:dyDescent="0.2">
      <c r="A26" t="s">
        <v>26</v>
      </c>
    </row>
    <row r="27" spans="1:9" ht="19" x14ac:dyDescent="0.2">
      <c r="G27" s="11" t="s">
        <v>27</v>
      </c>
      <c r="H27" s="11" t="s">
        <v>32</v>
      </c>
      <c r="I27" s="11" t="s">
        <v>33</v>
      </c>
    </row>
    <row r="28" spans="1:9" x14ac:dyDescent="0.2">
      <c r="G28" s="12" t="s">
        <v>28</v>
      </c>
      <c r="H28" s="2">
        <f>C16+C18+C22</f>
        <v>11</v>
      </c>
      <c r="I28" s="2">
        <f>D16+D18+D22</f>
        <v>6.333333333333333</v>
      </c>
    </row>
    <row r="29" spans="1:9" x14ac:dyDescent="0.2">
      <c r="G29" s="12" t="s">
        <v>29</v>
      </c>
      <c r="H29" s="2">
        <f>C16+C19+C23</f>
        <v>15</v>
      </c>
      <c r="I29" s="2">
        <f>D16+D19+D23</f>
        <v>5.5555555555555554</v>
      </c>
    </row>
    <row r="30" spans="1:9" x14ac:dyDescent="0.2">
      <c r="G30" s="12" t="s">
        <v>30</v>
      </c>
      <c r="H30" s="2">
        <f>C17+C20+C23</f>
        <v>14</v>
      </c>
      <c r="I30" s="2">
        <f>D17+D20+D23</f>
        <v>2.8888888888888888</v>
      </c>
    </row>
    <row r="31" spans="1:9" x14ac:dyDescent="0.2">
      <c r="G31" s="12" t="s">
        <v>31</v>
      </c>
      <c r="H31" s="2">
        <f>C17+C21+C24</f>
        <v>16</v>
      </c>
      <c r="I31" s="2">
        <f>D17+D21+D24</f>
        <v>2.4444444444444446</v>
      </c>
    </row>
    <row r="37" spans="1:9" x14ac:dyDescent="0.2">
      <c r="A37" t="s">
        <v>35</v>
      </c>
      <c r="B37" s="22" t="s">
        <v>45</v>
      </c>
      <c r="C37" s="22"/>
      <c r="D37" s="22"/>
    </row>
    <row r="39" spans="1:9" ht="18" x14ac:dyDescent="0.2">
      <c r="B39" s="11" t="s">
        <v>36</v>
      </c>
      <c r="C39" s="15">
        <f>H31</f>
        <v>16</v>
      </c>
    </row>
    <row r="40" spans="1:9" ht="17" thickBot="1" x14ac:dyDescent="0.25"/>
    <row r="41" spans="1:9" ht="20" thickBot="1" x14ac:dyDescent="0.25">
      <c r="B41" s="11" t="s">
        <v>37</v>
      </c>
      <c r="C41" s="1">
        <f>I31</f>
        <v>2.4444444444444446</v>
      </c>
      <c r="F41" t="s">
        <v>39</v>
      </c>
      <c r="H41" s="16" t="s">
        <v>40</v>
      </c>
      <c r="I41" s="17">
        <f>(15-C39)/C43</f>
        <v>-0.63960214906683122</v>
      </c>
    </row>
    <row r="43" spans="1:9" ht="18" x14ac:dyDescent="0.2">
      <c r="B43" s="11" t="s">
        <v>38</v>
      </c>
      <c r="C43" s="1">
        <f>SQRT(C41)</f>
        <v>1.5634719199411433</v>
      </c>
    </row>
    <row r="45" spans="1:9" x14ac:dyDescent="0.2">
      <c r="A45" t="s">
        <v>41</v>
      </c>
    </row>
    <row r="48" spans="1:9" x14ac:dyDescent="0.2">
      <c r="H48" s="13" t="s">
        <v>42</v>
      </c>
      <c r="I48" s="14">
        <v>0.24</v>
      </c>
    </row>
    <row r="49" spans="1:10" ht="17" thickBot="1" x14ac:dyDescent="0.25"/>
    <row r="50" spans="1:10" ht="17" thickBot="1" x14ac:dyDescent="0.25">
      <c r="H50" s="18" t="s">
        <v>43</v>
      </c>
      <c r="I50" s="19" t="s">
        <v>44</v>
      </c>
      <c r="J50" s="20">
        <f>0.5-I48</f>
        <v>0.26</v>
      </c>
    </row>
    <row r="55" spans="1:10" x14ac:dyDescent="0.2">
      <c r="A55" t="s">
        <v>46</v>
      </c>
      <c r="B55" s="23" t="s">
        <v>47</v>
      </c>
      <c r="C55" s="23"/>
      <c r="D55" s="23"/>
      <c r="E55" s="23"/>
    </row>
    <row r="58" spans="1:10" ht="18" x14ac:dyDescent="0.2">
      <c r="B58" s="11" t="s">
        <v>48</v>
      </c>
      <c r="C58" s="15">
        <f>H29</f>
        <v>15</v>
      </c>
    </row>
    <row r="59" spans="1:10" ht="17" thickBot="1" x14ac:dyDescent="0.25"/>
    <row r="60" spans="1:10" ht="20" thickBot="1" x14ac:dyDescent="0.25">
      <c r="B60" s="11" t="s">
        <v>49</v>
      </c>
      <c r="C60" s="1">
        <f>I29</f>
        <v>5.5555555555555554</v>
      </c>
      <c r="F60" t="s">
        <v>51</v>
      </c>
      <c r="H60" s="16" t="s">
        <v>40</v>
      </c>
      <c r="I60" s="17">
        <f>(15-C58)/C62</f>
        <v>0</v>
      </c>
    </row>
    <row r="62" spans="1:10" ht="19" thickBot="1" x14ac:dyDescent="0.25">
      <c r="B62" s="11" t="s">
        <v>50</v>
      </c>
      <c r="C62" s="1">
        <f>SQRT(C60)</f>
        <v>2.3570226039551585</v>
      </c>
    </row>
    <row r="63" spans="1:10" ht="17" thickBot="1" x14ac:dyDescent="0.25">
      <c r="H63" s="21" t="s">
        <v>52</v>
      </c>
    </row>
  </sheetData>
  <mergeCells count="4">
    <mergeCell ref="B37:D37"/>
    <mergeCell ref="B55:E55"/>
    <mergeCell ref="A1:H1"/>
    <mergeCell ref="K3:L3"/>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681D-7E0D-AE46-AFD8-5338D7BCD8B5}">
  <dimension ref="A1:I12"/>
  <sheetViews>
    <sheetView tabSelected="1" workbookViewId="0">
      <selection activeCell="J6" sqref="J6"/>
    </sheetView>
  </sheetViews>
  <sheetFormatPr baseColWidth="10" defaultRowHeight="16" x14ac:dyDescent="0.2"/>
  <cols>
    <col min="1" max="1" width="7.83203125" customWidth="1"/>
    <col min="2" max="2" width="8.6640625" customWidth="1"/>
    <col min="3" max="3" width="7.83203125" customWidth="1"/>
    <col min="4" max="4" width="9" customWidth="1"/>
    <col min="5" max="5" width="8.5" customWidth="1"/>
  </cols>
  <sheetData>
    <row r="1" spans="1:9" x14ac:dyDescent="0.2">
      <c r="D1" s="3" t="s">
        <v>53</v>
      </c>
      <c r="E1" s="3"/>
      <c r="F1" s="3"/>
      <c r="G1" s="3"/>
      <c r="H1" s="3"/>
    </row>
    <row r="2" spans="1:9" x14ac:dyDescent="0.2">
      <c r="D2" s="3" t="s">
        <v>54</v>
      </c>
      <c r="E2" s="3"/>
      <c r="F2" s="3"/>
      <c r="G2" s="3"/>
      <c r="H2" s="3"/>
      <c r="I2" s="3"/>
    </row>
    <row r="6" spans="1:9" x14ac:dyDescent="0.2">
      <c r="A6" s="12" t="s">
        <v>0</v>
      </c>
      <c r="B6" s="12" t="s">
        <v>10</v>
      </c>
      <c r="C6" s="12" t="s">
        <v>13</v>
      </c>
      <c r="D6" s="12" t="s">
        <v>14</v>
      </c>
      <c r="E6" s="12" t="s">
        <v>15</v>
      </c>
      <c r="G6" s="26" t="s">
        <v>19</v>
      </c>
      <c r="H6" s="26"/>
      <c r="I6" s="26"/>
    </row>
    <row r="7" spans="1:9" x14ac:dyDescent="0.2">
      <c r="A7" s="12" t="s">
        <v>1</v>
      </c>
      <c r="B7" s="2" t="s">
        <v>11</v>
      </c>
      <c r="C7" s="2">
        <v>12</v>
      </c>
      <c r="D7" s="2">
        <v>14</v>
      </c>
      <c r="E7" s="2">
        <v>16</v>
      </c>
    </row>
    <row r="8" spans="1:9" x14ac:dyDescent="0.2">
      <c r="A8" s="12" t="s">
        <v>2</v>
      </c>
      <c r="B8" s="2" t="s">
        <v>11</v>
      </c>
      <c r="C8" s="2">
        <v>1</v>
      </c>
      <c r="D8" s="2">
        <v>3</v>
      </c>
      <c r="E8" s="2">
        <v>5</v>
      </c>
    </row>
    <row r="9" spans="1:9" x14ac:dyDescent="0.2">
      <c r="A9" s="12" t="s">
        <v>3</v>
      </c>
      <c r="B9" s="2" t="s">
        <v>55</v>
      </c>
      <c r="C9" s="2">
        <v>2</v>
      </c>
      <c r="D9" s="2">
        <v>5</v>
      </c>
      <c r="E9" s="2">
        <v>5</v>
      </c>
    </row>
    <row r="10" spans="1:9" x14ac:dyDescent="0.2">
      <c r="A10" s="12" t="s">
        <v>4</v>
      </c>
      <c r="B10" s="2" t="s">
        <v>2</v>
      </c>
      <c r="C10" s="2">
        <v>5</v>
      </c>
      <c r="D10" s="2">
        <v>7</v>
      </c>
      <c r="E10" s="2">
        <v>15</v>
      </c>
    </row>
    <row r="11" spans="1:9" x14ac:dyDescent="0.2">
      <c r="A11" s="12" t="s">
        <v>5</v>
      </c>
      <c r="B11" s="2" t="s">
        <v>56</v>
      </c>
      <c r="C11" s="2">
        <v>2</v>
      </c>
      <c r="D11" s="2">
        <v>4</v>
      </c>
      <c r="E11" s="2">
        <v>6</v>
      </c>
    </row>
    <row r="12" spans="1:9" x14ac:dyDescent="0.2">
      <c r="A12" s="12" t="s">
        <v>6</v>
      </c>
      <c r="B12" s="2" t="s">
        <v>5</v>
      </c>
      <c r="C12" s="2">
        <v>6</v>
      </c>
      <c r="D12" s="2">
        <v>10</v>
      </c>
      <c r="E12" s="2">
        <v>14</v>
      </c>
    </row>
  </sheetData>
  <mergeCells count="1">
    <mergeCell ref="G6: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Es1-Lezione</vt:lpstr>
      <vt:lpstr>Es2 - Lezione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Sannazzaro</dc:creator>
  <cp:lastModifiedBy>Manuel Sannazzaro</cp:lastModifiedBy>
  <dcterms:created xsi:type="dcterms:W3CDTF">2026-03-26T17:49:21Z</dcterms:created>
  <dcterms:modified xsi:type="dcterms:W3CDTF">2026-03-28T11:57:23Z</dcterms:modified>
</cp:coreProperties>
</file>